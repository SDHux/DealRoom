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6324F"/>
      <sz val="13"/>
    </font>
    <font>
      <b val="1"/>
      <color rgb="00FFFFFF"/>
    </font>
    <font>
      <b val="1"/>
      <color rgb="00111827"/>
    </font>
    <font>
      <b val="1"/>
      <color rgb="0016324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9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3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9" fontId="4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>
      <c r="A1" s="1" t="inlineStr">
        <is>
          <t>Brightwater Health Partners · Capacity ROI Model</t>
        </is>
      </c>
    </row>
    <row r="2">
      <c r="A2" s="2" t="inlineStr">
        <is>
          <t>Input</t>
        </is>
      </c>
      <c r="B2" s="2" t="inlineStr">
        <is>
          <t>Value</t>
        </is>
      </c>
      <c r="C2" s="2" t="inlineStr">
        <is>
          <t>Source</t>
        </is>
      </c>
    </row>
    <row r="3">
      <c r="A3" s="3" t="inlineStr">
        <is>
          <t>Licensed med-surg beds (3 hospitals)</t>
        </is>
      </c>
      <c r="B3" s="4" t="n">
        <v>820</v>
      </c>
      <c r="C3" s="3" t="inlineStr">
        <is>
          <t>Brightwater bed census</t>
        </is>
      </c>
    </row>
    <row r="4">
      <c r="A4" s="3" t="inlineStr">
        <is>
          <t>Average discharges per day</t>
        </is>
      </c>
      <c r="B4" s="4" t="n">
        <v>164</v>
      </c>
      <c r="C4" s="3" t="inlineStr">
        <is>
          <t>12-month ADT average</t>
        </is>
      </c>
    </row>
    <row r="5">
      <c r="A5" s="3" t="inlineStr">
        <is>
          <t>Discharge-to-departure hours today</t>
        </is>
      </c>
      <c r="B5" s="4" t="n">
        <v>5.2</v>
      </c>
      <c r="C5" s="3" t="inlineStr">
        <is>
          <t>Pilot baseline</t>
        </is>
      </c>
    </row>
    <row r="6">
      <c r="A6" s="3" t="inlineStr">
        <is>
          <t>Target discharge-to-departure hours</t>
        </is>
      </c>
      <c r="B6" s="4" t="n">
        <v>3.5</v>
      </c>
      <c r="C6" s="3" t="inlineStr">
        <is>
          <t>Agreed success criteria</t>
        </is>
      </c>
    </row>
    <row r="7">
      <c r="A7" s="3" t="inlineStr">
        <is>
          <t>Contribution margin per surgical case</t>
        </is>
      </c>
      <c r="B7" s="5" t="n">
        <v>2400</v>
      </c>
      <c r="C7" s="3" t="inlineStr">
        <is>
          <t>Finance estimate</t>
        </is>
      </c>
    </row>
    <row r="8">
      <c r="A8" s="6" t="inlineStr">
        <is>
          <t>Share of freed bed-hours converted to surgical cases</t>
        </is>
      </c>
      <c r="B8" s="7" t="n">
        <v>0.08</v>
      </c>
      <c r="C8" s="3" t="inlineStr">
        <is>
          <t>Conservative planning assumption</t>
        </is>
      </c>
    </row>
    <row r="9">
      <c r="A9" s="3" t="inlineStr">
        <is>
          <t>Average inpatient length of stay (hours)</t>
        </is>
      </c>
      <c r="B9" s="4" t="n">
        <v>110</v>
      </c>
      <c r="C9" s="3" t="inlineStr">
        <is>
          <t>Finance</t>
        </is>
      </c>
    </row>
    <row r="10">
      <c r="A10" s="3" t="inlineStr">
        <is>
          <t>Cost per ED boarding hour</t>
        </is>
      </c>
      <c r="B10" s="4" t="n">
        <v>65</v>
      </c>
      <c r="C10" s="6" t="inlineStr">
        <is>
          <t>Finance estimate (diversion and staffing)</t>
        </is>
      </c>
    </row>
    <row r="11">
      <c r="A11" s="3" t="inlineStr">
        <is>
          <t>ED boarding hours per year today</t>
        </is>
      </c>
      <c r="B11" s="8" t="n">
        <v>41000</v>
      </c>
      <c r="C11" s="3" t="inlineStr">
        <is>
          <t>Quality dashboard</t>
        </is>
      </c>
    </row>
    <row r="12">
      <c r="A12" s="3" t="inlineStr">
        <is>
          <t>Expected reduction in boarding hours</t>
        </is>
      </c>
      <c r="B12" s="7" t="n">
        <v>0.2</v>
      </c>
      <c r="C12" s="3" t="inlineStr">
        <is>
          <t>Year-one goal</t>
        </is>
      </c>
    </row>
    <row r="13">
      <c r="A13" s="3" t="inlineStr">
        <is>
          <t>Nurse managers</t>
        </is>
      </c>
      <c r="B13" s="4" t="n">
        <v>38</v>
      </c>
      <c r="C13" s="3" t="inlineStr">
        <is>
          <t>Nursing</t>
        </is>
      </c>
    </row>
    <row r="14">
      <c r="A14" s="3" t="inlineStr">
        <is>
          <t>Hours saved per nurse manager per week</t>
        </is>
      </c>
      <c r="B14" s="4" t="n">
        <v>3</v>
      </c>
      <c r="C14" s="3" t="inlineStr">
        <is>
          <t>Pilot target</t>
        </is>
      </c>
    </row>
    <row r="15">
      <c r="A15" s="3" t="inlineStr">
        <is>
          <t>Loaded hourly cost, nurse manager</t>
        </is>
      </c>
      <c r="B15" s="4" t="n">
        <v>78</v>
      </c>
      <c r="C15" s="3" t="inlineStr">
        <is>
          <t>HR</t>
        </is>
      </c>
    </row>
    <row r="16">
      <c r="A16" s="3" t="inlineStr">
        <is>
          <t>Annual Ops Cloud subscription</t>
        </is>
      </c>
      <c r="B16" s="5" t="n">
        <v>212000</v>
      </c>
      <c r="C16" s="3" t="inlineStr">
        <is>
          <t>Ridgeline proposal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Annual value</t>
        </is>
      </c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</row>
    <row r="2">
      <c r="A2" s="3" t="inlineStr">
        <is>
          <t>Bed-hours freed per year</t>
        </is>
      </c>
      <c r="B2" s="9">
        <f>Assumptions!B4*(Assumptions!B5-Assumptions!B6)*365</f>
        <v/>
      </c>
      <c r="C2" s="10">
        <f>B2</f>
        <v/>
      </c>
      <c r="D2" s="10">
        <f>B2</f>
        <v/>
      </c>
    </row>
    <row r="3">
      <c r="A3" s="3" t="inlineStr">
        <is>
          <t>Added surgical cases</t>
        </is>
      </c>
      <c r="B3" s="10">
        <f>B2*Assumptions!B8/Assumptions!B9</f>
        <v/>
      </c>
      <c r="C3" s="10">
        <f>B3*1.1</f>
        <v/>
      </c>
      <c r="D3" s="10">
        <f>C3*1.1</f>
        <v/>
      </c>
    </row>
    <row r="4">
      <c r="A4" s="3" t="inlineStr">
        <is>
          <t>Surgical contribution margin</t>
        </is>
      </c>
      <c r="B4" s="11">
        <f>B3*Assumptions!B7</f>
        <v/>
      </c>
      <c r="C4" s="11">
        <f>C3*Assumptions!B7</f>
        <v/>
      </c>
      <c r="D4" s="11">
        <f>D3*Assumptions!B7</f>
        <v/>
      </c>
    </row>
    <row r="5">
      <c r="A5" s="3" t="inlineStr">
        <is>
          <t>ED boarding cost avoided</t>
        </is>
      </c>
      <c r="B5" s="12">
        <f>Assumptions!B11*Assumptions!B12*Assumptions!B10</f>
        <v/>
      </c>
      <c r="C5" s="11">
        <f>B5</f>
        <v/>
      </c>
      <c r="D5" s="11">
        <f>B5</f>
        <v/>
      </c>
    </row>
    <row r="6">
      <c r="A6" s="3" t="inlineStr">
        <is>
          <t>Nurse manager time recovered</t>
        </is>
      </c>
      <c r="B6" s="12">
        <f>Assumptions!B13*Assumptions!B14*48*Assumptions!B15</f>
        <v/>
      </c>
      <c r="C6" s="11">
        <f>B6</f>
        <v/>
      </c>
      <c r="D6" s="11">
        <f>B6</f>
        <v/>
      </c>
    </row>
    <row r="7">
      <c r="A7" s="13" t="inlineStr">
        <is>
          <t>Total value</t>
        </is>
      </c>
      <c r="B7" s="14">
        <f>SUM(B4:B6)</f>
        <v/>
      </c>
      <c r="C7" s="14">
        <f>SUM(C4:C6)</f>
        <v/>
      </c>
      <c r="D7" s="14">
        <f>SUM(D4:D6)</f>
        <v/>
      </c>
    </row>
    <row r="8">
      <c r="A8" s="3" t="inlineStr">
        <is>
          <t>Ops Cloud cost</t>
        </is>
      </c>
      <c r="B8" s="11">
        <f>Assumptions!B16</f>
        <v/>
      </c>
      <c r="C8" s="11">
        <f>Assumptions!B16</f>
        <v/>
      </c>
      <c r="D8" s="11">
        <f>Assumptions!B16</f>
        <v/>
      </c>
    </row>
    <row r="9">
      <c r="A9" s="15" t="inlineStr">
        <is>
          <t>Net benefit</t>
        </is>
      </c>
      <c r="B9" s="16">
        <f>B7-B8</f>
        <v/>
      </c>
      <c r="C9" s="16">
        <f>C7-C8</f>
        <v/>
      </c>
      <c r="D9" s="16">
        <f>D7-D8</f>
        <v/>
      </c>
    </row>
    <row r="10">
      <c r="A10" s="15" t="inlineStr">
        <is>
          <t>ROI</t>
        </is>
      </c>
      <c r="B10" s="17">
        <f>B9/B8</f>
        <v/>
      </c>
      <c r="C10" s="17">
        <f>C9/C8</f>
        <v/>
      </c>
      <c r="D10" s="17">
        <f>D9/D8</f>
        <v/>
      </c>
    </row>
    <row r="11">
      <c r="A11" s="13" t="inlineStr">
        <is>
          <t>Payback (months)</t>
        </is>
      </c>
      <c r="B11" s="18">
        <f>B8/(B7/12)</f>
        <v/>
      </c>
      <c r="C11" s="19" t="n"/>
      <c r="D11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2026-09-24T17:52:36Z</dcterms:created>
  <dcterms:modified xmlns:dcterms="http://purl.org/dc/terms/" xmlns:xsi="http://www.w3.org/2001/XMLSchema-instance" xsi:type="dcterms:W3CDTF">2026-09-24T17:52:36Z</dcterms:modified>
</cp:coreProperties>
</file>