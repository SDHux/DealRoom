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hree-Year R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6324F"/>
      <sz val="13"/>
    </font>
    <font>
      <b val="1"/>
      <color rgb="00FFFFFF"/>
    </font>
    <font>
      <b val="1"/>
      <color rgb="00111827"/>
    </font>
    <font>
      <b val="1"/>
      <color rgb="0016324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9" fontId="4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6" customWidth="1" min="3" max="3"/>
  </cols>
  <sheetData>
    <row r="1">
      <c r="A1" s="1" t="inlineStr">
        <is>
          <t>Castellan Manufacturing · Business Case</t>
        </is>
      </c>
    </row>
    <row r="2">
      <c r="A2" s="2" t="inlineStr">
        <is>
          <t>Input</t>
        </is>
      </c>
      <c r="B2" s="2" t="inlineStr">
        <is>
          <t>Value</t>
        </is>
      </c>
      <c r="C2" s="2" t="inlineStr">
        <is>
          <t>Source</t>
        </is>
      </c>
    </row>
    <row r="3">
      <c r="A3" s="3" t="inlineStr">
        <is>
          <t>Unplanned downtime cost per year</t>
        </is>
      </c>
      <c r="B3" s="4" t="n">
        <v>2100000</v>
      </c>
      <c r="C3" s="3" t="inlineStr">
        <is>
          <t>Castellan Finance</t>
        </is>
      </c>
    </row>
    <row r="4">
      <c r="A4" s="3" t="inlineStr">
        <is>
          <t>Expected downtime reduction</t>
        </is>
      </c>
      <c r="B4" s="5" t="n">
        <v>0.2</v>
      </c>
      <c r="C4" s="3" t="inlineStr">
        <is>
          <t>Customer story benchmark</t>
        </is>
      </c>
    </row>
    <row r="5">
      <c r="A5" s="6" t="inlineStr">
        <is>
          <t>Analyst hours per week on the nightly roll-up</t>
        </is>
      </c>
      <c r="B5" s="7" t="n">
        <v>30</v>
      </c>
      <c r="C5" s="3" t="inlineStr">
        <is>
          <t>Operations</t>
        </is>
      </c>
    </row>
    <row r="6">
      <c r="A6" s="3" t="inlineStr">
        <is>
          <t>Loaded analyst cost per hour</t>
        </is>
      </c>
      <c r="B6" s="7" t="n">
        <v>55</v>
      </c>
      <c r="C6" s="3" t="inlineStr">
        <is>
          <t>Finance</t>
        </is>
      </c>
    </row>
    <row r="7">
      <c r="A7" s="3" t="inlineStr">
        <is>
          <t>OEM late-delivery penalties per year</t>
        </is>
      </c>
      <c r="B7" s="4" t="n">
        <v>150000</v>
      </c>
      <c r="C7" s="3" t="inlineStr">
        <is>
          <t>Customer contracts</t>
        </is>
      </c>
    </row>
    <row r="8">
      <c r="A8" s="3" t="inlineStr">
        <is>
          <t>Share of penalties avoided at 95% OTD</t>
        </is>
      </c>
      <c r="B8" s="5" t="n">
        <v>1</v>
      </c>
      <c r="C8" s="3" t="inlineStr">
        <is>
          <t>Planning assumption</t>
        </is>
      </c>
    </row>
    <row r="9">
      <c r="A9" s="3" t="inlineStr">
        <is>
          <t>Annual subscription (Option A)</t>
        </is>
      </c>
      <c r="B9" s="4" t="n">
        <v>148500</v>
      </c>
      <c r="C9" s="3" t="inlineStr">
        <is>
          <t>Ridgeline proposal</t>
        </is>
      </c>
    </row>
    <row r="10">
      <c r="A10" s="3" t="inlineStr">
        <is>
          <t>Implementation fee (one time)</t>
        </is>
      </c>
      <c r="B10" s="4" t="n">
        <v>24000</v>
      </c>
      <c r="C10" s="3" t="inlineStr">
        <is>
          <t>Ridgeline proposal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/>
      <c r="B1" s="2" t="inlineStr">
        <is>
          <t>Year 1</t>
        </is>
      </c>
      <c r="C1" s="2" t="inlineStr">
        <is>
          <t>Year 2</t>
        </is>
      </c>
      <c r="D1" s="2" t="inlineStr">
        <is>
          <t>Year 3</t>
        </is>
      </c>
      <c r="E1" s="2" t="inlineStr">
        <is>
          <t>Total</t>
        </is>
      </c>
    </row>
    <row r="2">
      <c r="A2" s="3" t="inlineStr">
        <is>
          <t>Downtime savings</t>
        </is>
      </c>
      <c r="B2" s="8">
        <f>Assumptions!B3*Assumptions!B4</f>
        <v/>
      </c>
      <c r="C2" s="8">
        <f>B2</f>
        <v/>
      </c>
      <c r="D2" s="8">
        <f>B2</f>
        <v/>
      </c>
      <c r="E2" s="8">
        <f>SUM(B2:D2)</f>
        <v/>
      </c>
    </row>
    <row r="3">
      <c r="A3" s="3" t="inlineStr">
        <is>
          <t>Analyst time recovered</t>
        </is>
      </c>
      <c r="B3" s="8">
        <f>Assumptions!B5*Assumptions!B6*52</f>
        <v/>
      </c>
      <c r="C3" s="8">
        <f>B3</f>
        <v/>
      </c>
      <c r="D3" s="8">
        <f>B3</f>
        <v/>
      </c>
      <c r="E3" s="8">
        <f>SUM(B3:D3)</f>
        <v/>
      </c>
    </row>
    <row r="4">
      <c r="A4" s="3" t="inlineStr">
        <is>
          <t>Penalties avoided</t>
        </is>
      </c>
      <c r="B4" s="8">
        <f>Assumptions!B7*Assumptions!B8</f>
        <v/>
      </c>
      <c r="C4" s="8">
        <f>B4</f>
        <v/>
      </c>
      <c r="D4" s="8">
        <f>B4</f>
        <v/>
      </c>
      <c r="E4" s="8">
        <f>SUM(B4:D4)</f>
        <v/>
      </c>
    </row>
    <row r="5">
      <c r="A5" s="9" t="inlineStr">
        <is>
          <t>Total value</t>
        </is>
      </c>
      <c r="B5" s="10">
        <f>SUM(B2:B4)</f>
        <v/>
      </c>
      <c r="C5" s="10">
        <f>SUM(C2:C4)</f>
        <v/>
      </c>
      <c r="D5" s="10">
        <f>SUM(D2:D4)</f>
        <v/>
      </c>
      <c r="E5" s="10">
        <f>SUM(E2:E4)</f>
        <v/>
      </c>
    </row>
    <row r="6">
      <c r="A6" s="3" t="inlineStr">
        <is>
          <t>Subscription</t>
        </is>
      </c>
      <c r="B6" s="8">
        <f>Assumptions!B9</f>
        <v/>
      </c>
      <c r="C6" s="8">
        <f>Assumptions!B9</f>
        <v/>
      </c>
      <c r="D6" s="8">
        <f>Assumptions!B9</f>
        <v/>
      </c>
      <c r="E6" s="8">
        <f>SUM(B6:D6)</f>
        <v/>
      </c>
    </row>
    <row r="7">
      <c r="A7" s="3" t="inlineStr">
        <is>
          <t>Implementation</t>
        </is>
      </c>
      <c r="B7" s="8">
        <f>Assumptions!B10</f>
        <v/>
      </c>
      <c r="C7" s="8" t="n">
        <v>0</v>
      </c>
      <c r="D7" s="8" t="n">
        <v>0</v>
      </c>
      <c r="E7" s="8">
        <f>SUM(B7:D7)</f>
        <v/>
      </c>
    </row>
    <row r="8">
      <c r="A8" s="9" t="inlineStr">
        <is>
          <t>Total cost</t>
        </is>
      </c>
      <c r="B8" s="10">
        <f>B6+B7</f>
        <v/>
      </c>
      <c r="C8" s="10">
        <f>C6+C7</f>
        <v/>
      </c>
      <c r="D8" s="10">
        <f>D6+D7</f>
        <v/>
      </c>
      <c r="E8" s="10">
        <f>SUM(E6:E7)</f>
        <v/>
      </c>
    </row>
    <row r="9">
      <c r="A9" s="11" t="inlineStr">
        <is>
          <t>Net benefit</t>
        </is>
      </c>
      <c r="B9" s="12">
        <f>B5-B8</f>
        <v/>
      </c>
      <c r="C9" s="12">
        <f>C5-C8</f>
        <v/>
      </c>
      <c r="D9" s="12">
        <f>D5-D8</f>
        <v/>
      </c>
      <c r="E9" s="12">
        <f>E5-E8</f>
        <v/>
      </c>
    </row>
    <row r="10">
      <c r="A10" s="11" t="inlineStr">
        <is>
          <t>ROI</t>
        </is>
      </c>
      <c r="B10" s="13">
        <f>B9/B8</f>
        <v/>
      </c>
      <c r="C10" s="13">
        <f>C9/C8</f>
        <v/>
      </c>
      <c r="D10" s="13">
        <f>D9/D8</f>
        <v/>
      </c>
      <c r="E10" s="13">
        <f>E9/E8</f>
        <v/>
      </c>
    </row>
    <row r="11">
      <c r="A11" s="9" t="inlineStr">
        <is>
          <t>Payback (months)</t>
        </is>
      </c>
      <c r="B11" s="14">
        <f>B8/(B5/12)</f>
        <v/>
      </c>
      <c r="C11" s="15" t="n"/>
      <c r="D11" s="15" t="n"/>
      <c r="E11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2026-09-24T17:52:36Z</dcterms:created>
  <dcterms:modified xmlns:dcterms="http://purl.org/dc/terms/" xmlns:xsi="http://www.w3.org/2001/XMLSchema-instance" xsi:type="dcterms:W3CDTF">2026-09-24T17:52:36Z</dcterms:modified>
</cp:coreProperties>
</file>